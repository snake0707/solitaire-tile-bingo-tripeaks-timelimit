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/Documents/JoyCastle/claudeCode/solitaire-tile-bingo/config/"/>
    </mc:Choice>
  </mc:AlternateContent>
  <xr:revisionPtr revIDLastSave="0" documentId="8_{002DCA9D-18BD-FA48-916D-3BC36A8000C5}" xr6:coauthVersionLast="47" xr6:coauthVersionMax="47" xr10:uidLastSave="{00000000-0000-0000-0000-000000000000}"/>
  <bookViews>
    <workbookView xWindow="1800" yWindow="1820" windowWidth="27440" windowHeight="16440" xr2:uid="{EFFD2830-5138-F843-8B62-D391765E0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O6" i="1"/>
  <c r="O8" i="1"/>
  <c r="P9" i="1"/>
  <c r="O11" i="1"/>
  <c r="P11" i="1"/>
  <c r="O14" i="1"/>
  <c r="P14" i="1"/>
  <c r="P16" i="1"/>
  <c r="O18" i="1"/>
  <c r="O20" i="1"/>
  <c r="P21" i="1"/>
  <c r="O23" i="1"/>
  <c r="P23" i="1"/>
  <c r="O26" i="1"/>
  <c r="P26" i="1"/>
  <c r="P28" i="1"/>
  <c r="O30" i="1"/>
  <c r="O32" i="1"/>
  <c r="O3" i="1"/>
  <c r="Q4" i="1"/>
  <c r="O4" i="1" s="1"/>
  <c r="Q5" i="1"/>
  <c r="O5" i="1" s="1"/>
  <c r="Q6" i="1"/>
  <c r="P6" i="1" s="1"/>
  <c r="Q7" i="1"/>
  <c r="O7" i="1" s="1"/>
  <c r="Q8" i="1"/>
  <c r="P8" i="1" s="1"/>
  <c r="Q9" i="1"/>
  <c r="O9" i="1" s="1"/>
  <c r="Q10" i="1"/>
  <c r="O10" i="1" s="1"/>
  <c r="Q11" i="1"/>
  <c r="Q12" i="1"/>
  <c r="O12" i="1" s="1"/>
  <c r="Q13" i="1"/>
  <c r="O13" i="1" s="1"/>
  <c r="Q14" i="1"/>
  <c r="Q15" i="1"/>
  <c r="O15" i="1" s="1"/>
  <c r="Q16" i="1"/>
  <c r="O16" i="1" s="1"/>
  <c r="Q17" i="1"/>
  <c r="O17" i="1" s="1"/>
  <c r="Q18" i="1"/>
  <c r="P18" i="1" s="1"/>
  <c r="Q19" i="1"/>
  <c r="O19" i="1" s="1"/>
  <c r="Q20" i="1"/>
  <c r="P20" i="1" s="1"/>
  <c r="Q21" i="1"/>
  <c r="O21" i="1" s="1"/>
  <c r="Q22" i="1"/>
  <c r="O22" i="1" s="1"/>
  <c r="Q23" i="1"/>
  <c r="Q24" i="1"/>
  <c r="O24" i="1" s="1"/>
  <c r="Q25" i="1"/>
  <c r="O25" i="1" s="1"/>
  <c r="Q26" i="1"/>
  <c r="Q27" i="1"/>
  <c r="O27" i="1" s="1"/>
  <c r="Q28" i="1"/>
  <c r="O28" i="1" s="1"/>
  <c r="Q29" i="1"/>
  <c r="O29" i="1" s="1"/>
  <c r="Q30" i="1"/>
  <c r="P30" i="1" s="1"/>
  <c r="Q31" i="1"/>
  <c r="O31" i="1" s="1"/>
  <c r="Q32" i="1"/>
  <c r="P32" i="1" s="1"/>
  <c r="Q3" i="1"/>
  <c r="P3" i="1" s="1"/>
  <c r="N32" i="1"/>
  <c r="R32" i="1" s="1"/>
  <c r="N31" i="1"/>
  <c r="N30" i="1"/>
  <c r="N29" i="1"/>
  <c r="N28" i="1"/>
  <c r="N27" i="1"/>
  <c r="N26" i="1"/>
  <c r="R26" i="1" s="1"/>
  <c r="N25" i="1"/>
  <c r="N24" i="1"/>
  <c r="N23" i="1"/>
  <c r="R23" i="1" s="1"/>
  <c r="N22" i="1"/>
  <c r="N21" i="1"/>
  <c r="R21" i="1" s="1"/>
  <c r="N20" i="1"/>
  <c r="R20" i="1" s="1"/>
  <c r="N19" i="1"/>
  <c r="N18" i="1"/>
  <c r="N17" i="1"/>
  <c r="N16" i="1"/>
  <c r="R16" i="1" s="1"/>
  <c r="N15" i="1"/>
  <c r="N14" i="1"/>
  <c r="R14" i="1" s="1"/>
  <c r="N13" i="1"/>
  <c r="N12" i="1"/>
  <c r="N11" i="1"/>
  <c r="R11" i="1" s="1"/>
  <c r="N10" i="1"/>
  <c r="N9" i="1"/>
  <c r="R9" i="1" s="1"/>
  <c r="N8" i="1"/>
  <c r="R8" i="1" s="1"/>
  <c r="N7" i="1"/>
  <c r="N6" i="1"/>
  <c r="N5" i="1"/>
  <c r="N4" i="1"/>
  <c r="R4" i="1" s="1"/>
  <c r="N3" i="1"/>
  <c r="R3" i="1" s="1"/>
  <c r="R15" i="1" l="1"/>
  <c r="R27" i="1"/>
  <c r="R28" i="1"/>
  <c r="R29" i="1"/>
  <c r="R6" i="1"/>
  <c r="R18" i="1"/>
  <c r="R30" i="1"/>
  <c r="R10" i="1"/>
  <c r="P24" i="1"/>
  <c r="R24" i="1" s="1"/>
  <c r="P12" i="1"/>
  <c r="R12" i="1" s="1"/>
  <c r="P29" i="1"/>
  <c r="P17" i="1"/>
  <c r="R17" i="1" s="1"/>
  <c r="P5" i="1"/>
  <c r="R5" i="1" s="1"/>
  <c r="P22" i="1"/>
  <c r="R22" i="1" s="1"/>
  <c r="P10" i="1"/>
  <c r="P27" i="1"/>
  <c r="P15" i="1"/>
  <c r="P31" i="1"/>
  <c r="R31" i="1" s="1"/>
  <c r="P25" i="1"/>
  <c r="R25" i="1" s="1"/>
  <c r="P19" i="1"/>
  <c r="R19" i="1" s="1"/>
  <c r="P13" i="1"/>
  <c r="R13" i="1" s="1"/>
  <c r="P7" i="1"/>
  <c r="R7" i="1" s="1"/>
</calcChain>
</file>

<file path=xl/sharedStrings.xml><?xml version="1.0" encoding="utf-8"?>
<sst xmlns="http://schemas.openxmlformats.org/spreadsheetml/2006/main" count="48" uniqueCount="21">
  <si>
    <t xml:space="preserve">ID </t>
  </si>
  <si>
    <t xml:space="preserve"> Slots </t>
  </si>
  <si>
    <t xml:space="preserve"> 分类 </t>
  </si>
  <si>
    <t xml:space="preserve"> 单词 </t>
  </si>
  <si>
    <t xml:space="preserve"> 总卡牌 </t>
  </si>
  <si>
    <t xml:space="preserve"> 牌列 </t>
  </si>
  <si>
    <t xml:space="preserve"> 备牌堆 </t>
  </si>
  <si>
    <t xml:space="preserve"> 基础步数 </t>
  </si>
  <si>
    <t xml:space="preserve"> Acc </t>
  </si>
  <si>
    <t xml:space="preserve"> Pen </t>
  </si>
  <si>
    <t xml:space="preserve"> 有效步数 </t>
  </si>
  <si>
    <t xml:space="preserve">     类型</t>
  </si>
  <si>
    <t xml:space="preserve">     教程</t>
  </si>
  <si>
    <t xml:space="preserve">   检查点</t>
  </si>
  <si>
    <t xml:space="preserve">     标准</t>
  </si>
  <si>
    <t xml:space="preserve">     奖励</t>
  </si>
  <si>
    <t>求解范围-上限</t>
    <phoneticPr fontId="2" type="noConversion"/>
  </si>
  <si>
    <t>求解范围-下限</t>
    <phoneticPr fontId="2" type="noConversion"/>
  </si>
  <si>
    <t>delta</t>
    <phoneticPr fontId="2" type="noConversion"/>
  </si>
  <si>
    <t>有解概率</t>
    <phoneticPr fontId="2" type="noConversion"/>
  </si>
  <si>
    <t xml:space="preserve"> 有效步数-计算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</si>
</sst>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%"/>
  </numFmts>
  <fonts count="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9AB0-40D6-1E4B-A8AD-D6508D0EA06F}">
  <dimension ref="A1:R32"/>
  <sheetViews>
    <sheetView tabSelected="1" workbookViewId="0">
      <selection activeCell="A22" sqref="A22:XFD22"/>
    </sheetView>
  </sheetViews>
  <sheetFormatPr baseColWidth="10" defaultRowHeight="16"/>
  <cols>
    <col min="1" max="1" width="4" bestFit="1" customWidth="1"/>
    <col min="2" max="2" width="7" bestFit="1" customWidth="1"/>
    <col min="3" max="5" width="7.1640625" bestFit="1" customWidth="1"/>
    <col min="6" max="6" width="9.1640625" bestFit="1" customWidth="1"/>
    <col min="7" max="7" width="7.1640625" bestFit="1" customWidth="1"/>
    <col min="8" max="8" width="9.1640625" bestFit="1" customWidth="1"/>
    <col min="9" max="9" width="11.1640625" bestFit="1" customWidth="1"/>
    <col min="10" max="10" width="6" bestFit="1" customWidth="1"/>
    <col min="11" max="11" width="6.33203125" bestFit="1" customWidth="1"/>
    <col min="12" max="12" width="11.1640625" bestFit="1" customWidth="1"/>
    <col min="14" max="14" width="15.83203125" bestFit="1" customWidth="1"/>
    <col min="15" max="16" width="15.33203125" bestFit="1" customWidth="1"/>
    <col min="17" max="17" width="6.33203125" bestFit="1" customWidth="1"/>
  </cols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20</v>
      </c>
      <c r="O1" t="s">
        <v>17</v>
      </c>
      <c r="P1" t="s">
        <v>16</v>
      </c>
      <c r="Q1" t="s">
        <v>18</v>
      </c>
      <c r="R1" t="s">
        <v>19</v>
      </c>
    </row>
    <row r="2" spans="1:18">
      <c r="A2">
        <v>1</v>
      </c>
      <c r="B2">
        <v>11617</v>
      </c>
      <c r="C2">
        <v>3</v>
      </c>
      <c r="D2">
        <v>4</v>
      </c>
      <c r="E2">
        <v>17</v>
      </c>
      <c r="F2">
        <v>21</v>
      </c>
      <c r="G2">
        <v>3</v>
      </c>
      <c r="H2">
        <v>3</v>
      </c>
      <c r="I2">
        <v>-1</v>
      </c>
      <c r="J2">
        <v>0</v>
      </c>
      <c r="K2">
        <v>0</v>
      </c>
      <c r="L2">
        <v>-1</v>
      </c>
      <c r="M2" t="s">
        <v>12</v>
      </c>
    </row>
    <row r="3" spans="1:18">
      <c r="A3">
        <v>2</v>
      </c>
      <c r="B3">
        <v>11620</v>
      </c>
      <c r="C3">
        <v>3</v>
      </c>
      <c r="D3">
        <v>6</v>
      </c>
      <c r="E3">
        <v>26</v>
      </c>
      <c r="F3">
        <v>32</v>
      </c>
      <c r="G3">
        <v>3</v>
      </c>
      <c r="H3">
        <v>23</v>
      </c>
      <c r="I3">
        <v>61</v>
      </c>
      <c r="J3">
        <v>10</v>
      </c>
      <c r="K3">
        <v>15</v>
      </c>
      <c r="L3">
        <v>70</v>
      </c>
      <c r="M3" t="s">
        <v>13</v>
      </c>
      <c r="N3">
        <f>ROUND(I3*(1+K3/100),0)</f>
        <v>70</v>
      </c>
      <c r="O3">
        <f>I3-Q3</f>
        <v>58</v>
      </c>
      <c r="P3">
        <f>I3+Q3</f>
        <v>64</v>
      </c>
      <c r="Q3">
        <f>ROUND(I3*J3/100/2,0)</f>
        <v>3</v>
      </c>
      <c r="R3" s="1">
        <f>MIN((N3-O3)/(P3-O3),1)</f>
        <v>1</v>
      </c>
    </row>
    <row r="4" spans="1:18">
      <c r="A4">
        <v>3</v>
      </c>
      <c r="B4">
        <v>11623</v>
      </c>
      <c r="C4">
        <v>4</v>
      </c>
      <c r="D4">
        <v>10</v>
      </c>
      <c r="E4">
        <v>51</v>
      </c>
      <c r="F4">
        <v>61</v>
      </c>
      <c r="G4">
        <v>4</v>
      </c>
      <c r="H4">
        <v>43</v>
      </c>
      <c r="I4">
        <v>125</v>
      </c>
      <c r="J4">
        <v>8</v>
      </c>
      <c r="K4">
        <v>2</v>
      </c>
      <c r="L4">
        <v>127</v>
      </c>
      <c r="M4" t="s">
        <v>14</v>
      </c>
      <c r="N4">
        <f t="shared" ref="N4:N32" si="0">ROUND(I4*(1+K4/100),0)</f>
        <v>128</v>
      </c>
      <c r="O4">
        <f t="shared" ref="O4:O32" si="1">I4-Q4</f>
        <v>120</v>
      </c>
      <c r="P4">
        <f t="shared" ref="P4:P32" si="2">I4+Q4</f>
        <v>130</v>
      </c>
      <c r="Q4">
        <f>ROUND(I4*J4/100/2,0)</f>
        <v>5</v>
      </c>
      <c r="R4" s="1">
        <f t="shared" ref="R4:R32" si="3">MIN((N4-O4)/(P4-O4),1)</f>
        <v>0.8</v>
      </c>
    </row>
    <row r="5" spans="1:18">
      <c r="A5">
        <v>4</v>
      </c>
      <c r="B5">
        <v>11626</v>
      </c>
      <c r="C5">
        <v>4</v>
      </c>
      <c r="D5">
        <v>10</v>
      </c>
      <c r="E5">
        <v>52</v>
      </c>
      <c r="F5">
        <v>62</v>
      </c>
      <c r="G5">
        <v>4</v>
      </c>
      <c r="H5">
        <v>44</v>
      </c>
      <c r="I5">
        <v>118</v>
      </c>
      <c r="J5">
        <v>8</v>
      </c>
      <c r="K5">
        <v>2</v>
      </c>
      <c r="L5">
        <v>120</v>
      </c>
      <c r="M5" t="s">
        <v>14</v>
      </c>
      <c r="N5">
        <f t="shared" si="0"/>
        <v>120</v>
      </c>
      <c r="O5">
        <f t="shared" si="1"/>
        <v>113</v>
      </c>
      <c r="P5">
        <f t="shared" si="2"/>
        <v>123</v>
      </c>
      <c r="Q5">
        <f>ROUND(I5*J5/100/2,0)</f>
        <v>5</v>
      </c>
      <c r="R5" s="1">
        <f t="shared" si="3"/>
        <v>0.7</v>
      </c>
    </row>
    <row r="6" spans="1:18">
      <c r="A6">
        <v>5</v>
      </c>
      <c r="B6">
        <v>11629</v>
      </c>
      <c r="C6">
        <v>4</v>
      </c>
      <c r="D6">
        <v>10</v>
      </c>
      <c r="E6">
        <v>54</v>
      </c>
      <c r="F6">
        <v>64</v>
      </c>
      <c r="G6">
        <v>4</v>
      </c>
      <c r="H6">
        <v>46</v>
      </c>
      <c r="I6">
        <v>125</v>
      </c>
      <c r="J6">
        <v>8</v>
      </c>
      <c r="K6">
        <v>2</v>
      </c>
      <c r="L6">
        <v>127</v>
      </c>
      <c r="M6" t="s">
        <v>14</v>
      </c>
      <c r="N6">
        <f t="shared" si="0"/>
        <v>128</v>
      </c>
      <c r="O6">
        <f t="shared" si="1"/>
        <v>120</v>
      </c>
      <c r="P6">
        <f t="shared" si="2"/>
        <v>130</v>
      </c>
      <c r="Q6">
        <f>ROUND(I6*J6/100/2,0)</f>
        <v>5</v>
      </c>
      <c r="R6" s="1">
        <f t="shared" si="3"/>
        <v>0.8</v>
      </c>
    </row>
    <row r="7" spans="1:18">
      <c r="A7">
        <v>6</v>
      </c>
      <c r="B7">
        <v>11632</v>
      </c>
      <c r="C7">
        <v>4</v>
      </c>
      <c r="D7">
        <v>12</v>
      </c>
      <c r="E7">
        <v>66</v>
      </c>
      <c r="F7">
        <v>78</v>
      </c>
      <c r="G7">
        <v>4</v>
      </c>
      <c r="H7">
        <v>56</v>
      </c>
      <c r="I7">
        <v>161</v>
      </c>
      <c r="J7">
        <v>6</v>
      </c>
      <c r="K7">
        <v>-3</v>
      </c>
      <c r="L7">
        <v>156</v>
      </c>
      <c r="M7" t="s">
        <v>15</v>
      </c>
      <c r="N7">
        <f t="shared" si="0"/>
        <v>156</v>
      </c>
      <c r="O7">
        <f t="shared" si="1"/>
        <v>156</v>
      </c>
      <c r="P7">
        <f t="shared" si="2"/>
        <v>166</v>
      </c>
      <c r="Q7">
        <f>ROUND(I7*J7/100/2,0)</f>
        <v>5</v>
      </c>
      <c r="R7" s="1">
        <f t="shared" si="3"/>
        <v>0</v>
      </c>
    </row>
    <row r="8" spans="1:18">
      <c r="A8">
        <v>7</v>
      </c>
      <c r="B8">
        <v>11635</v>
      </c>
      <c r="C8">
        <v>3</v>
      </c>
      <c r="D8">
        <v>6</v>
      </c>
      <c r="E8">
        <v>29</v>
      </c>
      <c r="F8">
        <v>35</v>
      </c>
      <c r="G8">
        <v>3</v>
      </c>
      <c r="H8">
        <v>26</v>
      </c>
      <c r="I8">
        <v>65</v>
      </c>
      <c r="J8">
        <v>10</v>
      </c>
      <c r="K8">
        <v>15</v>
      </c>
      <c r="L8">
        <v>75</v>
      </c>
      <c r="M8" t="s">
        <v>13</v>
      </c>
      <c r="N8">
        <f t="shared" si="0"/>
        <v>75</v>
      </c>
      <c r="O8">
        <f t="shared" si="1"/>
        <v>62</v>
      </c>
      <c r="P8">
        <f t="shared" si="2"/>
        <v>68</v>
      </c>
      <c r="Q8">
        <f>ROUND(I8*J8/100/2,0)</f>
        <v>3</v>
      </c>
      <c r="R8" s="1">
        <f t="shared" si="3"/>
        <v>1</v>
      </c>
    </row>
    <row r="9" spans="1:18">
      <c r="A9">
        <v>8</v>
      </c>
      <c r="B9">
        <v>11638</v>
      </c>
      <c r="C9">
        <v>4</v>
      </c>
      <c r="D9">
        <v>10</v>
      </c>
      <c r="E9">
        <v>54</v>
      </c>
      <c r="F9">
        <v>64</v>
      </c>
      <c r="G9">
        <v>4</v>
      </c>
      <c r="H9">
        <v>46</v>
      </c>
      <c r="I9">
        <v>117</v>
      </c>
      <c r="J9">
        <v>8</v>
      </c>
      <c r="K9">
        <v>2</v>
      </c>
      <c r="L9">
        <v>119</v>
      </c>
      <c r="M9" t="s">
        <v>14</v>
      </c>
      <c r="N9">
        <f t="shared" si="0"/>
        <v>119</v>
      </c>
      <c r="O9">
        <f t="shared" si="1"/>
        <v>112</v>
      </c>
      <c r="P9">
        <f t="shared" si="2"/>
        <v>122</v>
      </c>
      <c r="Q9">
        <f>ROUND(I9*J9/100/2,0)</f>
        <v>5</v>
      </c>
      <c r="R9" s="1">
        <f t="shared" si="3"/>
        <v>0.7</v>
      </c>
    </row>
    <row r="10" spans="1:18">
      <c r="A10">
        <v>9</v>
      </c>
      <c r="B10">
        <v>11641</v>
      </c>
      <c r="C10">
        <v>4</v>
      </c>
      <c r="D10">
        <v>10</v>
      </c>
      <c r="E10">
        <v>54</v>
      </c>
      <c r="F10">
        <v>64</v>
      </c>
      <c r="G10">
        <v>4</v>
      </c>
      <c r="H10">
        <v>46</v>
      </c>
      <c r="I10">
        <v>120</v>
      </c>
      <c r="J10">
        <v>8</v>
      </c>
      <c r="K10">
        <v>2</v>
      </c>
      <c r="L10">
        <v>122</v>
      </c>
      <c r="M10" t="s">
        <v>14</v>
      </c>
      <c r="N10">
        <f t="shared" si="0"/>
        <v>122</v>
      </c>
      <c r="O10">
        <f t="shared" si="1"/>
        <v>115</v>
      </c>
      <c r="P10">
        <f t="shared" si="2"/>
        <v>125</v>
      </c>
      <c r="Q10">
        <f>ROUND(I10*J10/100/2,0)</f>
        <v>5</v>
      </c>
      <c r="R10" s="1">
        <f t="shared" si="3"/>
        <v>0.7</v>
      </c>
    </row>
    <row r="11" spans="1:18">
      <c r="A11">
        <v>10</v>
      </c>
      <c r="B11">
        <v>11644</v>
      </c>
      <c r="C11">
        <v>4</v>
      </c>
      <c r="D11">
        <v>10</v>
      </c>
      <c r="E11">
        <v>54</v>
      </c>
      <c r="F11">
        <v>64</v>
      </c>
      <c r="G11">
        <v>4</v>
      </c>
      <c r="H11">
        <v>46</v>
      </c>
      <c r="I11">
        <v>127</v>
      </c>
      <c r="J11">
        <v>8</v>
      </c>
      <c r="K11">
        <v>2</v>
      </c>
      <c r="L11">
        <v>130</v>
      </c>
      <c r="M11" t="s">
        <v>14</v>
      </c>
      <c r="N11">
        <f t="shared" si="0"/>
        <v>130</v>
      </c>
      <c r="O11">
        <f t="shared" si="1"/>
        <v>122</v>
      </c>
      <c r="P11">
        <f t="shared" si="2"/>
        <v>132</v>
      </c>
      <c r="Q11">
        <f>ROUND(I11*J11/100/2,0)</f>
        <v>5</v>
      </c>
      <c r="R11" s="1">
        <f t="shared" si="3"/>
        <v>0.8</v>
      </c>
    </row>
    <row r="12" spans="1:18">
      <c r="A12">
        <v>11</v>
      </c>
      <c r="B12">
        <v>11647</v>
      </c>
      <c r="C12">
        <v>4</v>
      </c>
      <c r="D12">
        <v>12</v>
      </c>
      <c r="E12">
        <v>68</v>
      </c>
      <c r="F12">
        <v>80</v>
      </c>
      <c r="G12">
        <v>4</v>
      </c>
      <c r="H12">
        <v>62</v>
      </c>
      <c r="I12">
        <v>168</v>
      </c>
      <c r="J12">
        <v>6</v>
      </c>
      <c r="K12">
        <v>-3</v>
      </c>
      <c r="L12">
        <v>163</v>
      </c>
      <c r="M12" t="s">
        <v>15</v>
      </c>
      <c r="N12">
        <f t="shared" si="0"/>
        <v>163</v>
      </c>
      <c r="O12">
        <f t="shared" si="1"/>
        <v>163</v>
      </c>
      <c r="P12">
        <f t="shared" si="2"/>
        <v>173</v>
      </c>
      <c r="Q12">
        <f>ROUND(I12*J12/100/2,0)</f>
        <v>5</v>
      </c>
      <c r="R12" s="1">
        <f t="shared" si="3"/>
        <v>0</v>
      </c>
    </row>
    <row r="13" spans="1:18">
      <c r="A13">
        <v>12</v>
      </c>
      <c r="B13">
        <v>11650</v>
      </c>
      <c r="C13">
        <v>3</v>
      </c>
      <c r="D13">
        <v>6</v>
      </c>
      <c r="E13">
        <v>30</v>
      </c>
      <c r="F13">
        <v>36</v>
      </c>
      <c r="G13">
        <v>3</v>
      </c>
      <c r="H13">
        <v>24</v>
      </c>
      <c r="I13">
        <v>62</v>
      </c>
      <c r="J13">
        <v>10</v>
      </c>
      <c r="K13">
        <v>15</v>
      </c>
      <c r="L13">
        <v>71</v>
      </c>
      <c r="M13" t="s">
        <v>13</v>
      </c>
      <c r="N13">
        <f t="shared" si="0"/>
        <v>71</v>
      </c>
      <c r="O13">
        <f t="shared" si="1"/>
        <v>59</v>
      </c>
      <c r="P13">
        <f t="shared" si="2"/>
        <v>65</v>
      </c>
      <c r="Q13">
        <f>ROUND(I13*J13/100/2,0)</f>
        <v>3</v>
      </c>
      <c r="R13" s="1">
        <f t="shared" si="3"/>
        <v>1</v>
      </c>
    </row>
    <row r="14" spans="1:18">
      <c r="A14">
        <v>13</v>
      </c>
      <c r="B14">
        <v>11653</v>
      </c>
      <c r="C14">
        <v>4</v>
      </c>
      <c r="D14">
        <v>10</v>
      </c>
      <c r="E14">
        <v>54</v>
      </c>
      <c r="F14">
        <v>64</v>
      </c>
      <c r="G14">
        <v>4</v>
      </c>
      <c r="H14">
        <v>42</v>
      </c>
      <c r="I14">
        <v>120</v>
      </c>
      <c r="J14">
        <v>8</v>
      </c>
      <c r="K14">
        <v>2</v>
      </c>
      <c r="L14">
        <v>122</v>
      </c>
      <c r="M14" t="s">
        <v>14</v>
      </c>
      <c r="N14">
        <f t="shared" si="0"/>
        <v>122</v>
      </c>
      <c r="O14">
        <f t="shared" si="1"/>
        <v>115</v>
      </c>
      <c r="P14">
        <f t="shared" si="2"/>
        <v>125</v>
      </c>
      <c r="Q14">
        <f>ROUND(I14*J14/100/2,0)</f>
        <v>5</v>
      </c>
      <c r="R14" s="1">
        <f t="shared" si="3"/>
        <v>0.7</v>
      </c>
    </row>
    <row r="15" spans="1:18">
      <c r="A15">
        <v>14</v>
      </c>
      <c r="B15">
        <v>11656</v>
      </c>
      <c r="C15">
        <v>4</v>
      </c>
      <c r="D15">
        <v>10</v>
      </c>
      <c r="E15">
        <v>54</v>
      </c>
      <c r="F15">
        <v>64</v>
      </c>
      <c r="G15">
        <v>4</v>
      </c>
      <c r="H15">
        <v>42</v>
      </c>
      <c r="I15">
        <v>118</v>
      </c>
      <c r="J15">
        <v>8</v>
      </c>
      <c r="K15">
        <v>2</v>
      </c>
      <c r="L15">
        <v>120</v>
      </c>
      <c r="M15" t="s">
        <v>14</v>
      </c>
      <c r="N15">
        <f t="shared" si="0"/>
        <v>120</v>
      </c>
      <c r="O15">
        <f t="shared" si="1"/>
        <v>113</v>
      </c>
      <c r="P15">
        <f t="shared" si="2"/>
        <v>123</v>
      </c>
      <c r="Q15">
        <f>ROUND(I15*J15/100/2,0)</f>
        <v>5</v>
      </c>
      <c r="R15" s="1">
        <f t="shared" si="3"/>
        <v>0.7</v>
      </c>
    </row>
    <row r="16" spans="1:18">
      <c r="A16">
        <v>15</v>
      </c>
      <c r="B16">
        <v>11659</v>
      </c>
      <c r="C16">
        <v>4</v>
      </c>
      <c r="D16">
        <v>10</v>
      </c>
      <c r="E16">
        <v>54</v>
      </c>
      <c r="F16">
        <v>64</v>
      </c>
      <c r="G16">
        <v>4</v>
      </c>
      <c r="H16">
        <v>42</v>
      </c>
      <c r="I16">
        <v>118</v>
      </c>
      <c r="J16">
        <v>8</v>
      </c>
      <c r="K16">
        <v>2</v>
      </c>
      <c r="L16">
        <v>120</v>
      </c>
      <c r="M16" t="s">
        <v>14</v>
      </c>
      <c r="N16">
        <f t="shared" si="0"/>
        <v>120</v>
      </c>
      <c r="O16">
        <f t="shared" si="1"/>
        <v>113</v>
      </c>
      <c r="P16">
        <f t="shared" si="2"/>
        <v>123</v>
      </c>
      <c r="Q16">
        <f>ROUND(I16*J16/100/2,0)</f>
        <v>5</v>
      </c>
      <c r="R16" s="1">
        <f t="shared" si="3"/>
        <v>0.7</v>
      </c>
    </row>
    <row r="17" spans="1:18">
      <c r="A17">
        <v>16</v>
      </c>
      <c r="B17">
        <v>11662</v>
      </c>
      <c r="C17">
        <v>4</v>
      </c>
      <c r="D17">
        <v>12</v>
      </c>
      <c r="E17">
        <v>68</v>
      </c>
      <c r="F17">
        <v>80</v>
      </c>
      <c r="G17">
        <v>4</v>
      </c>
      <c r="H17">
        <v>54</v>
      </c>
      <c r="I17">
        <v>162</v>
      </c>
      <c r="J17">
        <v>6</v>
      </c>
      <c r="K17">
        <v>-3</v>
      </c>
      <c r="L17">
        <v>157</v>
      </c>
      <c r="M17" t="s">
        <v>15</v>
      </c>
      <c r="N17">
        <f t="shared" si="0"/>
        <v>157</v>
      </c>
      <c r="O17">
        <f t="shared" si="1"/>
        <v>157</v>
      </c>
      <c r="P17">
        <f t="shared" si="2"/>
        <v>167</v>
      </c>
      <c r="Q17">
        <f>ROUND(I17*J17/100/2,0)</f>
        <v>5</v>
      </c>
      <c r="R17" s="1">
        <f t="shared" si="3"/>
        <v>0</v>
      </c>
    </row>
    <row r="18" spans="1:18">
      <c r="A18">
        <v>17</v>
      </c>
      <c r="B18">
        <v>11665</v>
      </c>
      <c r="C18">
        <v>3</v>
      </c>
      <c r="D18">
        <v>6</v>
      </c>
      <c r="E18">
        <v>30</v>
      </c>
      <c r="F18">
        <v>36</v>
      </c>
      <c r="G18">
        <v>3</v>
      </c>
      <c r="H18">
        <v>24</v>
      </c>
      <c r="I18">
        <v>63</v>
      </c>
      <c r="J18">
        <v>10</v>
      </c>
      <c r="K18">
        <v>15</v>
      </c>
      <c r="L18">
        <v>72</v>
      </c>
      <c r="M18" t="s">
        <v>13</v>
      </c>
      <c r="N18">
        <f t="shared" si="0"/>
        <v>72</v>
      </c>
      <c r="O18">
        <f t="shared" si="1"/>
        <v>60</v>
      </c>
      <c r="P18">
        <f t="shared" si="2"/>
        <v>66</v>
      </c>
      <c r="Q18">
        <f>ROUND(I18*J18/100/2,0)</f>
        <v>3</v>
      </c>
      <c r="R18" s="1">
        <f t="shared" si="3"/>
        <v>1</v>
      </c>
    </row>
    <row r="19" spans="1:18">
      <c r="A19">
        <v>18</v>
      </c>
      <c r="B19">
        <v>11668</v>
      </c>
      <c r="C19">
        <v>4</v>
      </c>
      <c r="D19">
        <v>10</v>
      </c>
      <c r="E19">
        <v>54</v>
      </c>
      <c r="F19">
        <v>64</v>
      </c>
      <c r="G19">
        <v>4</v>
      </c>
      <c r="H19">
        <v>42</v>
      </c>
      <c r="I19">
        <v>123</v>
      </c>
      <c r="J19">
        <v>8</v>
      </c>
      <c r="K19">
        <v>2</v>
      </c>
      <c r="L19">
        <v>125</v>
      </c>
      <c r="M19" t="s">
        <v>14</v>
      </c>
      <c r="N19">
        <f t="shared" si="0"/>
        <v>125</v>
      </c>
      <c r="O19">
        <f t="shared" si="1"/>
        <v>118</v>
      </c>
      <c r="P19">
        <f t="shared" si="2"/>
        <v>128</v>
      </c>
      <c r="Q19">
        <f>ROUND(I19*J19/100/2,0)</f>
        <v>5</v>
      </c>
      <c r="R19" s="1">
        <f t="shared" si="3"/>
        <v>0.7</v>
      </c>
    </row>
    <row r="20" spans="1:18">
      <c r="A20">
        <v>19</v>
      </c>
      <c r="B20">
        <v>11671</v>
      </c>
      <c r="C20">
        <v>4</v>
      </c>
      <c r="D20">
        <v>10</v>
      </c>
      <c r="E20">
        <v>54</v>
      </c>
      <c r="F20">
        <v>64</v>
      </c>
      <c r="G20">
        <v>4</v>
      </c>
      <c r="H20">
        <v>42</v>
      </c>
      <c r="I20">
        <v>125</v>
      </c>
      <c r="J20">
        <v>8</v>
      </c>
      <c r="K20">
        <v>2</v>
      </c>
      <c r="L20">
        <v>127</v>
      </c>
      <c r="M20" t="s">
        <v>14</v>
      </c>
      <c r="N20">
        <f t="shared" si="0"/>
        <v>128</v>
      </c>
      <c r="O20">
        <f t="shared" si="1"/>
        <v>120</v>
      </c>
      <c r="P20">
        <f t="shared" si="2"/>
        <v>130</v>
      </c>
      <c r="Q20">
        <f>ROUND(I20*J20/100/2,0)</f>
        <v>5</v>
      </c>
      <c r="R20" s="1">
        <f t="shared" si="3"/>
        <v>0.8</v>
      </c>
    </row>
    <row r="21" spans="1:18">
      <c r="A21">
        <v>20</v>
      </c>
      <c r="B21">
        <v>11674</v>
      </c>
      <c r="C21">
        <v>4</v>
      </c>
      <c r="D21">
        <v>10</v>
      </c>
      <c r="E21">
        <v>54</v>
      </c>
      <c r="F21">
        <v>64</v>
      </c>
      <c r="G21">
        <v>4</v>
      </c>
      <c r="H21">
        <v>42</v>
      </c>
      <c r="I21">
        <v>121</v>
      </c>
      <c r="J21">
        <v>8</v>
      </c>
      <c r="K21">
        <v>2</v>
      </c>
      <c r="L21">
        <v>123</v>
      </c>
      <c r="M21" t="s">
        <v>14</v>
      </c>
      <c r="N21">
        <f t="shared" si="0"/>
        <v>123</v>
      </c>
      <c r="O21">
        <f t="shared" si="1"/>
        <v>116</v>
      </c>
      <c r="P21">
        <f t="shared" si="2"/>
        <v>126</v>
      </c>
      <c r="Q21">
        <f>ROUND(I21*J21/100/2,0)</f>
        <v>5</v>
      </c>
      <c r="R21" s="1">
        <f t="shared" si="3"/>
        <v>0.7</v>
      </c>
    </row>
    <row r="22" spans="1:18">
      <c r="A22">
        <v>21</v>
      </c>
      <c r="B22">
        <v>11677</v>
      </c>
      <c r="C22">
        <v>4</v>
      </c>
      <c r="D22">
        <v>12</v>
      </c>
      <c r="E22">
        <v>68</v>
      </c>
      <c r="F22">
        <v>80</v>
      </c>
      <c r="G22">
        <v>4</v>
      </c>
      <c r="H22">
        <v>54</v>
      </c>
      <c r="I22">
        <v>162</v>
      </c>
      <c r="J22">
        <v>6</v>
      </c>
      <c r="K22">
        <v>-3</v>
      </c>
      <c r="L22">
        <v>157</v>
      </c>
      <c r="M22" t="s">
        <v>15</v>
      </c>
      <c r="N22">
        <f t="shared" si="0"/>
        <v>157</v>
      </c>
      <c r="O22">
        <f t="shared" si="1"/>
        <v>157</v>
      </c>
      <c r="P22">
        <f t="shared" si="2"/>
        <v>167</v>
      </c>
      <c r="Q22">
        <f>ROUND(I22*J22/100/2,0)</f>
        <v>5</v>
      </c>
      <c r="R22" s="1">
        <f t="shared" si="3"/>
        <v>0</v>
      </c>
    </row>
    <row r="23" spans="1:18">
      <c r="A23">
        <v>22</v>
      </c>
      <c r="B23">
        <v>11680</v>
      </c>
      <c r="C23">
        <v>3</v>
      </c>
      <c r="D23">
        <v>6</v>
      </c>
      <c r="E23">
        <v>30</v>
      </c>
      <c r="F23">
        <v>36</v>
      </c>
      <c r="G23">
        <v>3</v>
      </c>
      <c r="H23">
        <v>24</v>
      </c>
      <c r="I23">
        <v>62</v>
      </c>
      <c r="J23">
        <v>10</v>
      </c>
      <c r="K23">
        <v>15</v>
      </c>
      <c r="L23">
        <v>71</v>
      </c>
      <c r="M23" t="s">
        <v>13</v>
      </c>
      <c r="N23">
        <f t="shared" si="0"/>
        <v>71</v>
      </c>
      <c r="O23">
        <f t="shared" si="1"/>
        <v>59</v>
      </c>
      <c r="P23">
        <f t="shared" si="2"/>
        <v>65</v>
      </c>
      <c r="Q23">
        <f>ROUND(I23*J23/100/2,0)</f>
        <v>3</v>
      </c>
      <c r="R23" s="1">
        <f t="shared" si="3"/>
        <v>1</v>
      </c>
    </row>
    <row r="24" spans="1:18">
      <c r="A24">
        <v>23</v>
      </c>
      <c r="B24">
        <v>11683</v>
      </c>
      <c r="C24">
        <v>4</v>
      </c>
      <c r="D24">
        <v>10</v>
      </c>
      <c r="E24">
        <v>53</v>
      </c>
      <c r="F24">
        <v>63</v>
      </c>
      <c r="G24">
        <v>4</v>
      </c>
      <c r="H24">
        <v>41</v>
      </c>
      <c r="I24">
        <v>116</v>
      </c>
      <c r="J24">
        <v>8</v>
      </c>
      <c r="K24">
        <v>2</v>
      </c>
      <c r="L24">
        <v>118</v>
      </c>
      <c r="M24" t="s">
        <v>14</v>
      </c>
      <c r="N24">
        <f t="shared" si="0"/>
        <v>118</v>
      </c>
      <c r="O24">
        <f t="shared" si="1"/>
        <v>111</v>
      </c>
      <c r="P24">
        <f t="shared" si="2"/>
        <v>121</v>
      </c>
      <c r="Q24">
        <f>ROUND(I24*J24/100/2,0)</f>
        <v>5</v>
      </c>
      <c r="R24" s="1">
        <f t="shared" si="3"/>
        <v>0.7</v>
      </c>
    </row>
    <row r="25" spans="1:18">
      <c r="A25">
        <v>24</v>
      </c>
      <c r="B25">
        <v>11686</v>
      </c>
      <c r="C25">
        <v>4</v>
      </c>
      <c r="D25">
        <v>10</v>
      </c>
      <c r="E25">
        <v>54</v>
      </c>
      <c r="F25">
        <v>64</v>
      </c>
      <c r="G25">
        <v>4</v>
      </c>
      <c r="H25">
        <v>42</v>
      </c>
      <c r="I25">
        <v>124</v>
      </c>
      <c r="J25">
        <v>8</v>
      </c>
      <c r="K25">
        <v>2</v>
      </c>
      <c r="L25">
        <v>126</v>
      </c>
      <c r="M25" t="s">
        <v>14</v>
      </c>
      <c r="N25">
        <f t="shared" si="0"/>
        <v>126</v>
      </c>
      <c r="O25">
        <f t="shared" si="1"/>
        <v>119</v>
      </c>
      <c r="P25">
        <f t="shared" si="2"/>
        <v>129</v>
      </c>
      <c r="Q25">
        <f>ROUND(I25*J25/100/2,0)</f>
        <v>5</v>
      </c>
      <c r="R25" s="1">
        <f t="shared" si="3"/>
        <v>0.7</v>
      </c>
    </row>
    <row r="26" spans="1:18">
      <c r="A26">
        <v>25</v>
      </c>
      <c r="B26">
        <v>11689</v>
      </c>
      <c r="C26">
        <v>4</v>
      </c>
      <c r="D26">
        <v>10</v>
      </c>
      <c r="E26">
        <v>54</v>
      </c>
      <c r="F26">
        <v>64</v>
      </c>
      <c r="G26">
        <v>4</v>
      </c>
      <c r="H26">
        <v>42</v>
      </c>
      <c r="I26">
        <v>122</v>
      </c>
      <c r="J26">
        <v>8</v>
      </c>
      <c r="K26">
        <v>2</v>
      </c>
      <c r="L26">
        <v>124</v>
      </c>
      <c r="M26" t="s">
        <v>14</v>
      </c>
      <c r="N26">
        <f t="shared" si="0"/>
        <v>124</v>
      </c>
      <c r="O26">
        <f t="shared" si="1"/>
        <v>117</v>
      </c>
      <c r="P26">
        <f t="shared" si="2"/>
        <v>127</v>
      </c>
      <c r="Q26">
        <f>ROUND(I26*J26/100/2,0)</f>
        <v>5</v>
      </c>
      <c r="R26" s="1">
        <f t="shared" si="3"/>
        <v>0.7</v>
      </c>
    </row>
    <row r="27" spans="1:18">
      <c r="A27">
        <v>26</v>
      </c>
      <c r="B27">
        <v>11692</v>
      </c>
      <c r="C27">
        <v>5</v>
      </c>
      <c r="D27">
        <v>14</v>
      </c>
      <c r="E27">
        <v>78</v>
      </c>
      <c r="F27">
        <v>92</v>
      </c>
      <c r="G27">
        <v>5</v>
      </c>
      <c r="H27">
        <v>57</v>
      </c>
      <c r="I27">
        <v>182</v>
      </c>
      <c r="J27">
        <v>6</v>
      </c>
      <c r="K27">
        <v>-4</v>
      </c>
      <c r="L27">
        <v>175</v>
      </c>
      <c r="M27" t="s">
        <v>15</v>
      </c>
      <c r="N27">
        <f t="shared" si="0"/>
        <v>175</v>
      </c>
      <c r="O27">
        <f t="shared" si="1"/>
        <v>177</v>
      </c>
      <c r="P27">
        <f t="shared" si="2"/>
        <v>187</v>
      </c>
      <c r="Q27">
        <f>ROUND(I27*J27/100/2,0)</f>
        <v>5</v>
      </c>
      <c r="R27" s="1">
        <f t="shared" si="3"/>
        <v>-0.2</v>
      </c>
    </row>
    <row r="28" spans="1:18">
      <c r="A28">
        <v>27</v>
      </c>
      <c r="B28">
        <v>11695</v>
      </c>
      <c r="C28">
        <v>3</v>
      </c>
      <c r="D28">
        <v>6</v>
      </c>
      <c r="E28">
        <v>30</v>
      </c>
      <c r="F28">
        <v>36</v>
      </c>
      <c r="G28">
        <v>3</v>
      </c>
      <c r="H28">
        <v>24</v>
      </c>
      <c r="I28">
        <v>62</v>
      </c>
      <c r="J28">
        <v>10</v>
      </c>
      <c r="K28">
        <v>15</v>
      </c>
      <c r="L28">
        <v>71</v>
      </c>
      <c r="M28" t="s">
        <v>13</v>
      </c>
      <c r="N28">
        <f t="shared" si="0"/>
        <v>71</v>
      </c>
      <c r="O28">
        <f t="shared" si="1"/>
        <v>59</v>
      </c>
      <c r="P28">
        <f t="shared" si="2"/>
        <v>65</v>
      </c>
      <c r="Q28">
        <f>ROUND(I28*J28/100/2,0)</f>
        <v>3</v>
      </c>
      <c r="R28" s="1">
        <f t="shared" si="3"/>
        <v>1</v>
      </c>
    </row>
    <row r="29" spans="1:18">
      <c r="A29">
        <v>28</v>
      </c>
      <c r="B29">
        <v>11698</v>
      </c>
      <c r="C29">
        <v>4</v>
      </c>
      <c r="D29">
        <v>10</v>
      </c>
      <c r="E29">
        <v>54</v>
      </c>
      <c r="F29">
        <v>64</v>
      </c>
      <c r="G29">
        <v>4</v>
      </c>
      <c r="H29">
        <v>42</v>
      </c>
      <c r="I29">
        <v>117</v>
      </c>
      <c r="J29">
        <v>8</v>
      </c>
      <c r="K29">
        <v>2</v>
      </c>
      <c r="L29">
        <v>119</v>
      </c>
      <c r="M29" t="s">
        <v>14</v>
      </c>
      <c r="N29">
        <f t="shared" si="0"/>
        <v>119</v>
      </c>
      <c r="O29">
        <f t="shared" si="1"/>
        <v>112</v>
      </c>
      <c r="P29">
        <f t="shared" si="2"/>
        <v>122</v>
      </c>
      <c r="Q29">
        <f>ROUND(I29*J29/100/2,0)</f>
        <v>5</v>
      </c>
      <c r="R29" s="1">
        <f t="shared" si="3"/>
        <v>0.7</v>
      </c>
    </row>
    <row r="30" spans="1:18">
      <c r="A30">
        <v>29</v>
      </c>
      <c r="B30">
        <v>11701</v>
      </c>
      <c r="C30">
        <v>4</v>
      </c>
      <c r="D30">
        <v>10</v>
      </c>
      <c r="E30">
        <v>54</v>
      </c>
      <c r="F30">
        <v>64</v>
      </c>
      <c r="G30">
        <v>4</v>
      </c>
      <c r="H30">
        <v>42</v>
      </c>
      <c r="I30">
        <v>117</v>
      </c>
      <c r="J30">
        <v>8</v>
      </c>
      <c r="K30">
        <v>2</v>
      </c>
      <c r="L30">
        <v>119</v>
      </c>
      <c r="M30" t="s">
        <v>14</v>
      </c>
      <c r="N30">
        <f t="shared" si="0"/>
        <v>119</v>
      </c>
      <c r="O30">
        <f t="shared" si="1"/>
        <v>112</v>
      </c>
      <c r="P30">
        <f t="shared" si="2"/>
        <v>122</v>
      </c>
      <c r="Q30">
        <f>ROUND(I30*J30/100/2,0)</f>
        <v>5</v>
      </c>
      <c r="R30" s="1">
        <f t="shared" si="3"/>
        <v>0.7</v>
      </c>
    </row>
    <row r="31" spans="1:18">
      <c r="A31">
        <v>30</v>
      </c>
      <c r="B31">
        <v>11704</v>
      </c>
      <c r="C31">
        <v>4</v>
      </c>
      <c r="D31">
        <v>10</v>
      </c>
      <c r="E31">
        <v>54</v>
      </c>
      <c r="F31">
        <v>64</v>
      </c>
      <c r="G31">
        <v>4</v>
      </c>
      <c r="H31">
        <v>42</v>
      </c>
      <c r="I31">
        <v>130</v>
      </c>
      <c r="J31">
        <v>8</v>
      </c>
      <c r="K31">
        <v>2</v>
      </c>
      <c r="L31">
        <v>133</v>
      </c>
      <c r="M31" t="s">
        <v>14</v>
      </c>
      <c r="N31">
        <f t="shared" si="0"/>
        <v>133</v>
      </c>
      <c r="O31">
        <f t="shared" si="1"/>
        <v>125</v>
      </c>
      <c r="P31">
        <f t="shared" si="2"/>
        <v>135</v>
      </c>
      <c r="Q31">
        <f>ROUND(I31*J31/100/2,0)</f>
        <v>5</v>
      </c>
      <c r="R31" s="1">
        <f t="shared" si="3"/>
        <v>0.8</v>
      </c>
    </row>
    <row r="32" spans="1:18">
      <c r="A32">
        <v>31</v>
      </c>
      <c r="B32">
        <v>11707</v>
      </c>
      <c r="C32">
        <v>5</v>
      </c>
      <c r="D32">
        <v>15</v>
      </c>
      <c r="E32">
        <v>83</v>
      </c>
      <c r="F32">
        <v>98</v>
      </c>
      <c r="G32">
        <v>5</v>
      </c>
      <c r="H32">
        <v>63</v>
      </c>
      <c r="I32">
        <v>200</v>
      </c>
      <c r="J32">
        <v>6</v>
      </c>
      <c r="K32">
        <v>-5</v>
      </c>
      <c r="L32">
        <v>190</v>
      </c>
      <c r="M32" t="s">
        <v>15</v>
      </c>
      <c r="N32">
        <f t="shared" si="0"/>
        <v>190</v>
      </c>
      <c r="O32">
        <f t="shared" si="1"/>
        <v>194</v>
      </c>
      <c r="P32">
        <f t="shared" si="2"/>
        <v>206</v>
      </c>
      <c r="Q32">
        <f>ROUND(I32*J32/100/2,0)</f>
        <v>6</v>
      </c>
      <c r="R32" s="1">
        <f t="shared" si="3"/>
        <v>-0.33333333333333331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李斌</dc:creator>
  <cp:lastModifiedBy>李斌</cp:lastModifiedBy>
  <dcterms:created xsi:type="dcterms:W3CDTF">2026-03-19T06:46:33Z</dcterms:created>
  <dcterms:modified xsi:type="dcterms:W3CDTF">2026-03-20T14:22:49Z</dcterms:modified>
</cp:coreProperties>
</file>